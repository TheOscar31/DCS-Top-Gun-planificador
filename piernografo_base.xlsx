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uario\Downloads\DCS_Operations_Center_V4_XLSX_JPG\"/>
    </mc:Choice>
  </mc:AlternateContent>
  <xr:revisionPtr revIDLastSave="0" documentId="13_ncr:1_{EB23564F-D9BF-448F-815D-F55F3077D30D}" xr6:coauthVersionLast="47" xr6:coauthVersionMax="47" xr10:uidLastSave="{00000000-0000-0000-0000-000000000000}"/>
  <bookViews>
    <workbookView xWindow="-108" yWindow="-108" windowWidth="30936" windowHeight="16776" xr2:uid="{950F9257-F0D5-4909-827F-8105BA422735}"/>
  </bookViews>
  <sheets>
    <sheet name="Plan de vuelo" sheetId="1" r:id="rId1"/>
  </sheets>
  <externalReferences>
    <externalReference r:id="rId2"/>
  </externalReferences>
  <definedNames>
    <definedName name="_xlnm.Print_Area" localSheetId="0">'Plan de vuelo'!$B$2:$I$46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19" i="1" l="1"/>
  <c r="L18" i="1"/>
  <c r="O4" i="1" a="1"/>
  <c r="O4" i="1"/>
  <c r="M4" i="1"/>
  <c r="N3" i="1"/>
  <c r="M3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<sst xmlns="http://schemas.openxmlformats.org/spreadsheetml/2006/main" count="17" uniqueCount="16">
  <si>
    <t>Gelendzhik</t>
  </si>
  <si>
    <t>Tenis4</t>
  </si>
  <si>
    <t>PLAN DE VUELO</t>
  </si>
  <si>
    <t>WP</t>
  </si>
  <si>
    <t>NOMBRE</t>
  </si>
  <si>
    <t>ALTITUD</t>
  </si>
  <si>
    <t>COMENTARIOS</t>
  </si>
  <si>
    <t>PLAN DE COMUNICACIONES</t>
  </si>
  <si>
    <t>CH</t>
  </si>
  <si>
    <t>ESTACIÓN</t>
  </si>
  <si>
    <t>FREC.</t>
  </si>
  <si>
    <t>TCN</t>
  </si>
  <si>
    <t>VEL</t>
  </si>
  <si>
    <t>POS.</t>
  </si>
  <si>
    <t>ARMAMENTO</t>
  </si>
  <si>
    <t>CANT.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</si>
</sst>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#&quot;.&quot;##\ &quot;Ma&quot;"/>
    <numFmt numFmtId="165" formatCode="###,###\ &quot;MHz&quot;"/>
    <numFmt numFmtId="166" formatCode="#,##0\ &quot;ft&quot;"/>
    <numFmt numFmtId="167" formatCode="#\-#"/>
    <numFmt numFmtId="168" formatCode="0,000\ &quot;MHz&quot;"/>
    <numFmt numFmtId="169" formatCode="&quot;x&quot;#"/>
  </numFmts>
  <fonts count="12" x14ac:knownFonts="1">
    <font>
      <sz val="11"/>
      <color theme="1"/>
      <name val="Aptos Narrow"/>
      <family val="2"/>
      <scheme val="minor"/>
    </font>
    <font>
      <sz val="11"/>
      <color theme="1"/>
      <name val="Rockwell"/>
      <family val="1"/>
    </font>
    <font>
      <sz val="8"/>
      <color theme="1"/>
      <name val="Aptos Display"/>
      <family val="2"/>
      <scheme val="major"/>
    </font>
    <font>
      <b/>
      <sz val="20"/>
      <color theme="1"/>
      <name val="Rockwell"/>
      <family val="1"/>
    </font>
    <font>
      <b/>
      <sz val="16"/>
      <color theme="1"/>
      <name val="Rockwell"/>
      <family val="1"/>
    </font>
    <font>
      <b/>
      <sz val="14"/>
      <color theme="1"/>
      <name val="Rockwell"/>
      <family val="1"/>
    </font>
    <font>
      <sz val="12"/>
      <color theme="1"/>
      <name val="Rockwell"/>
      <family val="1"/>
    </font>
    <font>
      <b/>
      <sz val="12"/>
      <color theme="1"/>
      <name val="Rockwell"/>
      <family val="1"/>
    </font>
    <font>
      <sz val="10"/>
      <color theme="1"/>
      <name val="Rockwell"/>
      <family val="1"/>
    </font>
    <font>
      <b/>
      <sz val="11"/>
      <color theme="1"/>
      <name val="Rockwell"/>
      <family val="1"/>
    </font>
    <font>
      <b/>
      <sz val="10"/>
      <color theme="1"/>
      <name val="Rockwell"/>
      <family val="1"/>
    </font>
    <font>
      <b/>
      <sz val="13"/>
      <color theme="1"/>
      <name val="Rockwell"/>
      <family val="1"/>
    </font>
  </fonts>
  <fills count="4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indexed="64"/>
      </patternFill>
    </fill>
  </fills>
  <borders count="3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7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165" fontId="2" fillId="3" borderId="0" xfId="0" applyNumberFormat="1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49" fontId="8" fillId="2" borderId="8" xfId="0" applyNumberFormat="1" applyFont="1" applyFill="1" applyBorder="1" applyAlignment="1">
      <alignment horizontal="center" vertical="center"/>
    </xf>
    <xf numFmtId="49" fontId="8" fillId="2" borderId="12" xfId="0" applyNumberFormat="1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center" vertical="center"/>
    </xf>
    <xf numFmtId="49" fontId="8" fillId="2" borderId="16" xfId="0" applyNumberFormat="1" applyFont="1" applyFill="1" applyBorder="1" applyAlignment="1">
      <alignment horizontal="center" vertical="center"/>
    </xf>
    <xf numFmtId="0" fontId="8" fillId="2" borderId="16" xfId="0" applyFont="1" applyFill="1" applyBorder="1" applyAlignment="1">
      <alignment horizontal="center" vertical="center"/>
    </xf>
    <xf numFmtId="0" fontId="9" fillId="2" borderId="18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9" xfId="0" applyFont="1" applyFill="1" applyBorder="1" applyAlignment="1">
      <alignment horizontal="center" vertical="center"/>
    </xf>
    <xf numFmtId="0" fontId="8" fillId="2" borderId="20" xfId="0" applyFont="1" applyFill="1" applyBorder="1" applyAlignment="1">
      <alignment horizontal="center" vertical="center"/>
    </xf>
    <xf numFmtId="166" fontId="8" fillId="2" borderId="12" xfId="0" applyNumberFormat="1" applyFont="1" applyFill="1" applyBorder="1" applyAlignment="1">
      <alignment horizontal="center" vertical="center"/>
    </xf>
    <xf numFmtId="0" fontId="8" fillId="2" borderId="24" xfId="0" applyFont="1" applyFill="1" applyBorder="1" applyAlignment="1">
      <alignment horizontal="center" vertical="center"/>
    </xf>
    <xf numFmtId="166" fontId="8" fillId="2" borderId="16" xfId="0" applyNumberFormat="1" applyFont="1" applyFill="1" applyBorder="1" applyAlignment="1">
      <alignment horizontal="center" vertical="center"/>
    </xf>
    <xf numFmtId="167" fontId="8" fillId="2" borderId="20" xfId="0" applyNumberFormat="1" applyFont="1" applyFill="1" applyBorder="1" applyAlignment="1">
      <alignment horizontal="center" vertical="center"/>
    </xf>
    <xf numFmtId="167" fontId="8" fillId="2" borderId="12" xfId="0" applyNumberFormat="1" applyFont="1" applyFill="1" applyBorder="1" applyAlignment="1">
      <alignment horizontal="center" vertical="center"/>
    </xf>
    <xf numFmtId="168" fontId="8" fillId="2" borderId="12" xfId="0" applyNumberFormat="1" applyFont="1" applyFill="1" applyBorder="1" applyAlignment="1">
      <alignment horizontal="center" vertical="center"/>
    </xf>
    <xf numFmtId="164" fontId="8" fillId="2" borderId="28" xfId="0" applyNumberFormat="1" applyFont="1" applyFill="1" applyBorder="1" applyAlignment="1">
      <alignment horizontal="center" vertical="center"/>
    </xf>
    <xf numFmtId="167" fontId="8" fillId="2" borderId="16" xfId="0" applyNumberFormat="1" applyFont="1" applyFill="1" applyBorder="1" applyAlignment="1">
      <alignment horizontal="center" vertical="center"/>
    </xf>
    <xf numFmtId="168" fontId="8" fillId="2" borderId="16" xfId="0" applyNumberFormat="1" applyFont="1" applyFill="1" applyBorder="1" applyAlignment="1">
      <alignment horizontal="center" vertical="center"/>
    </xf>
    <xf numFmtId="164" fontId="8" fillId="2" borderId="29" xfId="0" applyNumberFormat="1" applyFont="1" applyFill="1" applyBorder="1" applyAlignment="1">
      <alignment horizontal="center" vertical="center"/>
    </xf>
    <xf numFmtId="0" fontId="9" fillId="2" borderId="30" xfId="0" applyFont="1" applyFill="1" applyBorder="1" applyAlignment="1">
      <alignment horizontal="center" vertical="center"/>
    </xf>
    <xf numFmtId="0" fontId="10" fillId="2" borderId="18" xfId="0" applyFont="1" applyFill="1" applyBorder="1" applyAlignment="1">
      <alignment horizontal="center" vertical="center"/>
    </xf>
    <xf numFmtId="169" fontId="8" fillId="2" borderId="19" xfId="0" applyNumberFormat="1" applyFont="1" applyFill="1" applyBorder="1" applyAlignment="1">
      <alignment horizontal="center" vertical="center"/>
    </xf>
    <xf numFmtId="0" fontId="10" fillId="2" borderId="20" xfId="0" applyFont="1" applyFill="1" applyBorder="1" applyAlignment="1">
      <alignment horizontal="center" vertical="center"/>
    </xf>
    <xf numFmtId="169" fontId="8" fillId="2" borderId="28" xfId="0" applyNumberFormat="1" applyFont="1" applyFill="1" applyBorder="1" applyAlignment="1">
      <alignment horizontal="center" vertical="center"/>
    </xf>
    <xf numFmtId="0" fontId="10" fillId="2" borderId="24" xfId="0" applyFont="1" applyFill="1" applyBorder="1" applyAlignment="1">
      <alignment horizontal="center" vertical="center"/>
    </xf>
    <xf numFmtId="169" fontId="8" fillId="2" borderId="29" xfId="0" applyNumberFormat="1" applyFont="1" applyFill="1" applyBorder="1" applyAlignment="1">
      <alignment horizontal="center" vertical="center"/>
    </xf>
    <xf numFmtId="0" fontId="8" fillId="2" borderId="21" xfId="0" applyFont="1" applyFill="1" applyBorder="1" applyAlignment="1">
      <alignment horizontal="center" vertical="center"/>
    </xf>
    <xf numFmtId="0" fontId="8" fillId="2" borderId="22" xfId="0" applyFont="1" applyFill="1" applyBorder="1" applyAlignment="1">
      <alignment horizontal="center" vertical="center"/>
    </xf>
    <xf numFmtId="0" fontId="8" fillId="2" borderId="11" xfId="0" applyFont="1" applyFill="1" applyBorder="1" applyAlignment="1">
      <alignment horizontal="center" vertical="center"/>
    </xf>
    <xf numFmtId="0" fontId="8" fillId="2" borderId="25" xfId="0" applyFont="1" applyFill="1" applyBorder="1" applyAlignment="1">
      <alignment horizontal="center" vertical="center"/>
    </xf>
    <xf numFmtId="0" fontId="8" fillId="2" borderId="26" xfId="0" applyFont="1" applyFill="1" applyBorder="1" applyAlignment="1">
      <alignment horizontal="center" vertical="center"/>
    </xf>
    <xf numFmtId="0" fontId="8" fillId="2" borderId="15" xfId="0" applyFont="1" applyFill="1" applyBorder="1" applyAlignment="1">
      <alignment horizontal="center" vertical="center"/>
    </xf>
    <xf numFmtId="0" fontId="8" fillId="2" borderId="31" xfId="0" applyFont="1" applyFill="1" applyBorder="1" applyAlignment="1">
      <alignment horizontal="center" vertical="center"/>
    </xf>
    <xf numFmtId="0" fontId="8" fillId="2" borderId="32" xfId="0" applyFont="1" applyFill="1" applyBorder="1" applyAlignment="1">
      <alignment horizontal="center" vertical="center"/>
    </xf>
    <xf numFmtId="0" fontId="8" fillId="2" borderId="33" xfId="0" applyFont="1" applyFill="1" applyBorder="1" applyAlignment="1">
      <alignment horizontal="center" vertical="center"/>
    </xf>
    <xf numFmtId="0" fontId="8" fillId="2" borderId="21" xfId="0" applyFont="1" applyFill="1" applyBorder="1" applyAlignment="1">
      <alignment horizontal="center" vertical="center" wrapText="1"/>
    </xf>
    <xf numFmtId="0" fontId="8" fillId="2" borderId="22" xfId="0" applyFont="1" applyFill="1" applyBorder="1" applyAlignment="1">
      <alignment horizontal="center" vertical="center" wrapText="1"/>
    </xf>
    <xf numFmtId="0" fontId="8" fillId="2" borderId="23" xfId="0" applyFont="1" applyFill="1" applyBorder="1" applyAlignment="1">
      <alignment horizontal="center" vertical="center" wrapText="1"/>
    </xf>
    <xf numFmtId="0" fontId="8" fillId="2" borderId="25" xfId="0" applyFont="1" applyFill="1" applyBorder="1" applyAlignment="1">
      <alignment horizontal="center" vertical="center" wrapText="1"/>
    </xf>
    <xf numFmtId="0" fontId="8" fillId="2" borderId="26" xfId="0" applyFont="1" applyFill="1" applyBorder="1" applyAlignment="1">
      <alignment horizontal="center" vertical="center" wrapText="1"/>
    </xf>
    <xf numFmtId="0" fontId="8" fillId="2" borderId="27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9" fillId="2" borderId="2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9" xfId="0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center" vertical="center"/>
    </xf>
    <xf numFmtId="0" fontId="8" fillId="2" borderId="10" xfId="0" applyFont="1" applyFill="1" applyBorder="1" applyAlignment="1">
      <alignment horizontal="center" vertical="center"/>
    </xf>
    <xf numFmtId="0" fontId="8" fillId="2" borderId="14" xfId="0" applyFont="1" applyFill="1" applyBorder="1" applyAlignment="1">
      <alignment horizontal="center" vertical="center"/>
    </xf>
    <xf numFmtId="0" fontId="8" fillId="2" borderId="16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8" fillId="2" borderId="7" xfId="0" applyFont="1" applyFill="1" applyBorder="1" applyAlignment="1">
      <alignment horizontal="center" vertical="center"/>
    </xf>
    <xf numFmtId="0" fontId="8" fillId="2" borderId="8" xfId="0" applyFont="1" applyFill="1" applyBorder="1" applyAlignment="1">
      <alignment horizontal="center" vertical="center"/>
    </xf>
    <xf numFmtId="0" fontId="8" fillId="2" borderId="9" xfId="0" applyFont="1" applyFill="1" applyBorder="1" applyAlignment="1">
      <alignment horizontal="center" vertical="center"/>
    </xf>
    <xf numFmtId="0" fontId="8" fillId="2" borderId="13" xfId="0" applyFont="1" applyFill="1" applyBorder="1" applyAlignment="1">
      <alignment horizontal="center" vertical="center"/>
    </xf>
    <xf numFmtId="0" fontId="8" fillId="2" borderId="17" xfId="0" applyFont="1" applyFill="1" applyBorder="1" applyAlignment="1">
      <alignment horizontal="center" vertical="center"/>
    </xf>
    <xf numFmtId="0" fontId="11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2">
    <dxf>
      <numFmt numFmtId="164" formatCode="0#&quot;.&quot;##\ &quot;Ma&quot;"/>
    </dxf>
    <dxf>
      <numFmt numFmtId="170" formatCode="#&quot;.&quot;##\ &quot;Ma&quot;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Documents/&#211;scar/DCS%20&#211;scar/TopGun/Server%20dedicado/Excel%20completo%20TG%202.xlsx" TargetMode="External"/><Relationship Id="rId2" Type="http://schemas.openxmlformats.org/officeDocument/2006/relationships/externalLinkPath" Target="file:///C:\Users\Usuario\Documents\&#211;scar\DCS%20&#211;scar\TopGun\Server%20dedicado\Excel%20completo%20TG%202.xlsx" TargetMode="External"/><Relationship Id="rId1" Type="http://schemas.openxmlformats.org/officeDocument/2006/relationships/externalLinkPath" Target="/Users/Usuario/Documents/&#211;scar/DCS%20&#211;scar/TopGun/Server%20dedicado/Excel%20completo%20TG%20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Aeropuertos y aeródromos"/>
      <sheetName val="Carriers y tankers"/>
      <sheetName val="Polígonos"/>
      <sheetName val="FARPs y bases no preparadas"/>
      <sheetName val="Slots F-18"/>
      <sheetName val="F-18 DTC - Comms"/>
      <sheetName val="F-18 DTC - WP"/>
      <sheetName val="Plan de vuelo"/>
      <sheetName val="Cálculos"/>
      <sheetName val="METEO"/>
      <sheetName val="Grupos y binomios aleatorios"/>
      <sheetName val="Datos plan vuelo"/>
    </sheetNames>
    <sheetDataSet>
      <sheetData sheetId="0" refreshError="1"/>
      <sheetData sheetId="1" refreshError="1"/>
      <sheetData sheetId="2" refreshError="1"/>
      <sheetData sheetId="3" refreshError="1"/>
      <sheetData sheetId="4">
        <row r="8">
          <cell r="AE8" t="str">
            <v>Tiflis-Lochini</v>
          </cell>
          <cell r="AF8" t="str">
            <v>Torre: 138.100 MHz / 267.100MHz</v>
          </cell>
          <cell r="AG8" t="str">
            <v>80X</v>
          </cell>
          <cell r="AH8" t="str">
            <v>Toro1</v>
          </cell>
          <cell r="AI8">
            <v>318100</v>
          </cell>
        </row>
        <row r="9">
          <cell r="AE9" t="str">
            <v>Tiflis-Lochini</v>
          </cell>
          <cell r="AH9" t="str">
            <v>Tenis1</v>
          </cell>
          <cell r="AI9">
            <v>318200</v>
          </cell>
        </row>
        <row r="10">
          <cell r="AE10" t="str">
            <v>Tiflis-Lochini</v>
          </cell>
          <cell r="AH10" t="str">
            <v>Poker1</v>
          </cell>
          <cell r="AI10">
            <v>318300</v>
          </cell>
        </row>
        <row r="11">
          <cell r="AE11" t="str">
            <v>Tiflis-Lochini</v>
          </cell>
          <cell r="AH11" t="str">
            <v>Nikel1</v>
          </cell>
          <cell r="AI11">
            <v>318400</v>
          </cell>
        </row>
        <row r="12">
          <cell r="AE12" t="str">
            <v>Tiflis-Lochini</v>
          </cell>
          <cell r="AH12" t="str">
            <v>Toro2</v>
          </cell>
          <cell r="AI12">
            <v>318050</v>
          </cell>
        </row>
        <row r="13">
          <cell r="AE13" t="str">
            <v>Tiflis-Lochini</v>
          </cell>
          <cell r="AH13" t="str">
            <v>Toro3</v>
          </cell>
          <cell r="AI13">
            <v>318100</v>
          </cell>
        </row>
        <row r="14">
          <cell r="AE14" t="str">
            <v>Tiflis-Lochini</v>
          </cell>
          <cell r="AH14" t="str">
            <v>Tenis2</v>
          </cell>
          <cell r="AI14">
            <v>318150</v>
          </cell>
        </row>
        <row r="15">
          <cell r="AE15" t="str">
            <v>Tiflis-Lochini</v>
          </cell>
          <cell r="AH15" t="str">
            <v>Tenis3</v>
          </cell>
          <cell r="AI15">
            <v>318200</v>
          </cell>
        </row>
        <row r="16">
          <cell r="AE16" t="str">
            <v>Tiflis-Lochini</v>
          </cell>
          <cell r="AH16" t="str">
            <v>Poker2</v>
          </cell>
          <cell r="AI16">
            <v>318250</v>
          </cell>
        </row>
        <row r="17">
          <cell r="AE17" t="str">
            <v>Tiflis-Lochini</v>
          </cell>
          <cell r="AH17" t="str">
            <v>Poker3</v>
          </cell>
          <cell r="AI17">
            <v>318300</v>
          </cell>
        </row>
        <row r="18">
          <cell r="AE18" t="str">
            <v>Tiflis-Lochini</v>
          </cell>
          <cell r="AH18" t="str">
            <v>Nikel2</v>
          </cell>
          <cell r="AI18">
            <v>318350</v>
          </cell>
        </row>
        <row r="19">
          <cell r="AE19" t="str">
            <v>Tiflis-Lochini</v>
          </cell>
          <cell r="AH19" t="str">
            <v>Nikel3</v>
          </cell>
          <cell r="AI19">
            <v>318400</v>
          </cell>
        </row>
        <row r="24">
          <cell r="AE24" t="str">
            <v>CVN-71</v>
          </cell>
          <cell r="AF24" t="str">
            <v>127.100 MHz</v>
          </cell>
          <cell r="AG24" t="str">
            <v>71X</v>
          </cell>
          <cell r="AH24" t="str">
            <v>VFA-34: Joker1</v>
          </cell>
          <cell r="AI24">
            <v>318500</v>
          </cell>
        </row>
        <row r="25">
          <cell r="AE25" t="str">
            <v>CVN-71</v>
          </cell>
          <cell r="AH25" t="str">
            <v>VMFA-312: Check1</v>
          </cell>
          <cell r="AI25">
            <v>318600</v>
          </cell>
        </row>
        <row r="26">
          <cell r="AE26" t="str">
            <v>CVN-71</v>
          </cell>
          <cell r="AH26" t="str">
            <v>VMFA-312: Check2</v>
          </cell>
          <cell r="AI26">
            <v>318700</v>
          </cell>
        </row>
        <row r="33">
          <cell r="AE33" t="str">
            <v>CVN-74</v>
          </cell>
          <cell r="AF33" t="str">
            <v>127.400 MHz</v>
          </cell>
          <cell r="AG33" t="str">
            <v>74X</v>
          </cell>
          <cell r="AH33" t="str">
            <v>VMFA-115: Blade1</v>
          </cell>
          <cell r="AI33">
            <v>318800</v>
          </cell>
        </row>
        <row r="34">
          <cell r="AE34" t="str">
            <v>CVN-74</v>
          </cell>
          <cell r="AH34" t="str">
            <v>VMFA-312: Check3</v>
          </cell>
          <cell r="AI34">
            <v>318900</v>
          </cell>
        </row>
        <row r="42">
          <cell r="AE42" t="str">
            <v>Gelendzhik</v>
          </cell>
          <cell r="AF42" t="str">
            <v>Torre: 126.100 MHz / 255.100MHz</v>
          </cell>
          <cell r="AG42" t="str">
            <v>28X</v>
          </cell>
          <cell r="AH42" t="str">
            <v>Poker4</v>
          </cell>
          <cell r="AI42">
            <v>319100</v>
          </cell>
        </row>
        <row r="43">
          <cell r="AE43" t="str">
            <v>Gelendzhik</v>
          </cell>
          <cell r="AH43" t="str">
            <v>Tenis4</v>
          </cell>
          <cell r="AI43">
            <v>319200</v>
          </cell>
        </row>
        <row r="44">
          <cell r="AE44" t="str">
            <v>Gelendzhik</v>
          </cell>
          <cell r="AH44" t="str">
            <v>Poker5</v>
          </cell>
          <cell r="AI44">
            <v>319050</v>
          </cell>
        </row>
        <row r="45">
          <cell r="AE45" t="str">
            <v>Gelendzhik</v>
          </cell>
          <cell r="AH45" t="str">
            <v>Poker6</v>
          </cell>
          <cell r="AI45">
            <v>319100</v>
          </cell>
        </row>
        <row r="46">
          <cell r="AE46" t="str">
            <v>Gelendzhik</v>
          </cell>
          <cell r="AH46" t="str">
            <v>Tenis5</v>
          </cell>
          <cell r="AI46">
            <v>319150</v>
          </cell>
        </row>
        <row r="47">
          <cell r="AE47" t="str">
            <v>Gelendzhik</v>
          </cell>
          <cell r="AH47" t="str">
            <v>Tenis6</v>
          </cell>
          <cell r="AI47">
            <v>319200</v>
          </cell>
        </row>
        <row r="58">
          <cell r="AE58" t="str">
            <v>Krasnodar-Pashkovsky</v>
          </cell>
          <cell r="AF58" t="str">
            <v>Torre: 128.100 MHz / 257.100MHz</v>
          </cell>
          <cell r="AG58" t="str">
            <v>27X</v>
          </cell>
          <cell r="AH58" t="str">
            <v>Poker7</v>
          </cell>
          <cell r="AI58">
            <v>0</v>
          </cell>
        </row>
        <row r="59">
          <cell r="AE59" t="str">
            <v>Krasnodar-Pashkovsky</v>
          </cell>
          <cell r="AH59" t="str">
            <v>Tenis7</v>
          </cell>
          <cell r="AI59">
            <v>0</v>
          </cell>
        </row>
        <row r="60">
          <cell r="AE60" t="str">
            <v>Krasnodar-Pashkovsky</v>
          </cell>
        </row>
        <row r="61">
          <cell r="AE61" t="str">
            <v>Krasnodar-Pashkovsky</v>
          </cell>
        </row>
        <row r="62">
          <cell r="AE62" t="str">
            <v>Krasnodar-Pashkovsky</v>
          </cell>
        </row>
        <row r="63">
          <cell r="AE63" t="str">
            <v>Krasnodar-Pashkovsky</v>
          </cell>
        </row>
      </sheetData>
      <sheetData sheetId="5" refreshError="1"/>
      <sheetData sheetId="6" refreshError="1"/>
      <sheetData sheetId="7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95A82-B2D9-4C1E-AC9B-B07D5A485DC8}">
  <sheetPr>
    <tabColor rgb="FF92D050"/>
  </sheetPr>
  <dimension ref="B2:P46"/>
  <sheetViews>
    <sheetView tabSelected="1" showWhiteSpace="0" zoomScale="130" zoomScaleNormal="130" zoomScaleSheetLayoutView="100" zoomScalePageLayoutView="70" workbookViewId="0">
      <selection activeCell="C4" sqref="C4:H4"/>
    </sheetView>
  </sheetViews>
  <sheetFormatPr baseColWidth="10" defaultRowHeight="13.8" x14ac:dyDescent="0.3"/>
  <cols>
    <col min="1" max="1" width="11.5546875" style="1"/>
    <col min="2" max="2" width="6" style="1" customWidth="1"/>
    <col min="3" max="3" width="5.5546875" style="1" bestFit="1" customWidth="1"/>
    <col min="4" max="4" width="14.5546875" style="1" customWidth="1"/>
    <col min="5" max="5" width="13.33203125" style="1" bestFit="1" customWidth="1"/>
    <col min="6" max="6" width="11.5546875" style="1"/>
    <col min="7" max="7" width="16.109375" style="1" customWidth="1"/>
    <col min="8" max="8" width="11" style="1" bestFit="1" customWidth="1"/>
    <col min="9" max="9" width="6" style="1" customWidth="1"/>
    <col min="10" max="10" width="11.5546875" style="1" customWidth="1"/>
    <col min="11" max="11" width="11.5546875" style="1"/>
    <col min="12" max="12" width="20.88671875" style="2" customWidth="1"/>
    <col min="13" max="13" width="33.109375" style="2" bestFit="1" customWidth="1"/>
    <col min="14" max="15" width="11.5546875" style="2"/>
    <col min="16" max="16" width="15.88671875" style="3" customWidth="1"/>
    <col min="17" max="16384" width="11.5546875" style="1"/>
  </cols>
  <sheetData>
    <row r="2" spans="2:16" ht="14.4" thickBot="1" x14ac:dyDescent="0.35">
      <c r="B2" s="58"/>
      <c r="C2" s="58"/>
      <c r="D2" s="58"/>
      <c r="E2" s="58"/>
      <c r="F2" s="58"/>
      <c r="G2" s="58"/>
      <c r="H2" s="58"/>
      <c r="I2" s="58"/>
    </row>
    <row r="3" spans="2:16" ht="34.799999999999997" customHeight="1" thickBot="1" x14ac:dyDescent="0.35">
      <c r="B3" s="58"/>
      <c r="C3" s="59"/>
      <c r="D3" s="60"/>
      <c r="E3" s="60"/>
      <c r="F3" s="60"/>
      <c r="G3" s="60"/>
      <c r="H3" s="61"/>
      <c r="I3" s="4"/>
      <c r="L3" s="2" t="s">
        <v>0</v>
      </c>
      <c r="M3" s="3" t="str">
        <f>VLOOKUP(L3,'[1]Slots F-18'!AE:AI,2,FALSE)</f>
        <v>Torre: 126.100 MHz / 255.100MHz</v>
      </c>
      <c r="N3" s="2" t="str">
        <f>VLOOKUP(L3,'[1]Slots F-18'!AE:AI,3,FALSE)</f>
        <v>28X</v>
      </c>
    </row>
    <row r="4" spans="2:16" ht="31.8" customHeight="1" x14ac:dyDescent="0.3">
      <c r="B4" s="58"/>
      <c r="C4" s="72"/>
      <c r="D4" s="72"/>
      <c r="E4" s="72"/>
      <c r="F4" s="72"/>
      <c r="G4" s="72"/>
      <c r="H4" s="72"/>
      <c r="I4" s="5"/>
      <c r="L4" s="2" t="s">
        <v>1</v>
      </c>
      <c r="M4" s="3">
        <f>VLOOKUP(L4,O:P,2,FALSE)</f>
        <v>319200</v>
      </c>
      <c r="O4" s="2" t="str" cm="1">
        <f t="array" ref="O4:P15">IF(L3='[1]Slots F-18'!AE8:AE19,'[1]Slots F-18'!AH8:AI19,IF(L3='[1]Slots F-18'!AE24:AE26,'[1]Slots F-18'!AH24:AI26,IF(L3='[1]Slots F-18'!AE33:AE34,'[1]Slots F-18'!AH33:AI34,IF(L3='[1]Slots F-18'!AE42:AE47,'[1]Slots F-18'!AH42:AI47,""))))</f>
        <v>Poker4</v>
      </c>
      <c r="P4" s="3">
        <v>319100</v>
      </c>
    </row>
    <row r="5" spans="2:16" ht="10.199999999999999" customHeight="1" thickBot="1" x14ac:dyDescent="0.35">
      <c r="B5" s="58"/>
      <c r="C5" s="62"/>
      <c r="D5" s="62"/>
      <c r="E5" s="62"/>
      <c r="F5" s="62"/>
      <c r="G5" s="62"/>
      <c r="H5" s="62"/>
      <c r="O5" s="2" t="str">
        <v>Tenis4</v>
      </c>
      <c r="P5" s="3">
        <v>319200</v>
      </c>
    </row>
    <row r="6" spans="2:16" ht="16.2" thickBot="1" x14ac:dyDescent="0.35">
      <c r="B6" s="58"/>
      <c r="C6" s="63"/>
      <c r="D6" s="64"/>
      <c r="E6" s="64"/>
      <c r="F6" s="64"/>
      <c r="G6" s="64"/>
      <c r="H6" s="65"/>
      <c r="O6" s="2" t="e">
        <v>#N/A</v>
      </c>
      <c r="P6" s="3" t="e">
        <v>#N/A</v>
      </c>
    </row>
    <row r="7" spans="2:16" ht="14.4" customHeight="1" x14ac:dyDescent="0.3">
      <c r="B7" s="58"/>
      <c r="C7" s="66"/>
      <c r="D7" s="67"/>
      <c r="E7" s="6"/>
      <c r="F7" s="68"/>
      <c r="G7" s="68"/>
      <c r="H7" s="69"/>
      <c r="O7" s="2" t="e">
        <v>#N/A</v>
      </c>
      <c r="P7" s="3" t="e">
        <v>#N/A</v>
      </c>
    </row>
    <row r="8" spans="2:16" ht="14.4" customHeight="1" x14ac:dyDescent="0.3">
      <c r="B8" s="58"/>
      <c r="C8" s="55"/>
      <c r="D8" s="34"/>
      <c r="E8" s="7"/>
      <c r="F8" s="54"/>
      <c r="G8" s="54"/>
      <c r="H8" s="70"/>
      <c r="O8" s="2" t="e">
        <v>#N/A</v>
      </c>
      <c r="P8" s="3" t="e">
        <v>#N/A</v>
      </c>
    </row>
    <row r="9" spans="2:16" ht="14.4" customHeight="1" x14ac:dyDescent="0.3">
      <c r="B9" s="58"/>
      <c r="C9" s="55"/>
      <c r="D9" s="34"/>
      <c r="E9" s="7"/>
      <c r="F9" s="54"/>
      <c r="G9" s="54"/>
      <c r="H9" s="70"/>
      <c r="O9" s="2" t="e">
        <v>#N/A</v>
      </c>
      <c r="P9" s="3" t="e">
        <v>#N/A</v>
      </c>
    </row>
    <row r="10" spans="2:16" ht="15" customHeight="1" thickBot="1" x14ac:dyDescent="0.35">
      <c r="B10" s="58"/>
      <c r="C10" s="56"/>
      <c r="D10" s="37"/>
      <c r="E10" s="9"/>
      <c r="F10" s="57"/>
      <c r="G10" s="57"/>
      <c r="H10" s="71"/>
      <c r="O10" s="2" t="e">
        <v>#N/A</v>
      </c>
      <c r="P10" s="3" t="e">
        <v>#N/A</v>
      </c>
    </row>
    <row r="11" spans="2:16" ht="12" customHeight="1" thickBot="1" x14ac:dyDescent="0.35">
      <c r="B11" s="58"/>
      <c r="C11" s="47"/>
      <c r="D11" s="47"/>
      <c r="E11" s="47"/>
      <c r="F11" s="47"/>
      <c r="G11" s="47"/>
      <c r="H11" s="47"/>
      <c r="O11" s="2" t="e">
        <v>#N/A</v>
      </c>
      <c r="P11" s="3" t="e">
        <v>#N/A</v>
      </c>
    </row>
    <row r="12" spans="2:16" ht="18.600000000000001" thickBot="1" x14ac:dyDescent="0.35">
      <c r="B12" s="58"/>
      <c r="C12" s="48" t="s">
        <v>2</v>
      </c>
      <c r="D12" s="49"/>
      <c r="E12" s="49"/>
      <c r="F12" s="49"/>
      <c r="G12" s="49"/>
      <c r="H12" s="50"/>
      <c r="O12" s="2" t="e">
        <v>#N/A</v>
      </c>
      <c r="P12" s="3" t="e">
        <v>#N/A</v>
      </c>
    </row>
    <row r="13" spans="2:16" ht="14.4" x14ac:dyDescent="0.3">
      <c r="B13" s="58"/>
      <c r="C13" s="11" t="s">
        <v>3</v>
      </c>
      <c r="D13" s="12" t="s">
        <v>4</v>
      </c>
      <c r="E13" s="12" t="s">
        <v>5</v>
      </c>
      <c r="F13" s="52" t="s">
        <v>6</v>
      </c>
      <c r="G13" s="52"/>
      <c r="H13" s="53"/>
      <c r="O13" s="2" t="e">
        <v>#N/A</v>
      </c>
      <c r="P13" s="3" t="e">
        <v>#N/A</v>
      </c>
    </row>
    <row r="14" spans="2:16" x14ac:dyDescent="0.3">
      <c r="B14" s="58"/>
      <c r="C14" s="14"/>
      <c r="D14" s="8"/>
      <c r="E14" s="15"/>
      <c r="F14" s="41"/>
      <c r="G14" s="42"/>
      <c r="H14" s="43"/>
      <c r="O14" s="2" t="e">
        <v>#N/A</v>
      </c>
      <c r="P14" s="3" t="e">
        <v>#N/A</v>
      </c>
    </row>
    <row r="15" spans="2:16" x14ac:dyDescent="0.3">
      <c r="B15" s="58"/>
      <c r="C15" s="14"/>
      <c r="D15" s="8"/>
      <c r="E15" s="15"/>
      <c r="F15" s="41"/>
      <c r="G15" s="42"/>
      <c r="H15" s="43"/>
      <c r="O15" s="2" t="e">
        <v>#N/A</v>
      </c>
      <c r="P15" s="3" t="e">
        <v>#N/A</v>
      </c>
    </row>
    <row r="16" spans="2:16" x14ac:dyDescent="0.3">
      <c r="B16" s="58"/>
      <c r="C16" s="14"/>
      <c r="D16" s="8"/>
      <c r="E16" s="15"/>
      <c r="F16" s="41"/>
      <c r="G16" s="42"/>
      <c r="H16" s="43"/>
    </row>
    <row r="17" spans="2:12" x14ac:dyDescent="0.3">
      <c r="B17" s="58"/>
      <c r="C17" s="14"/>
      <c r="D17" s="8"/>
      <c r="E17" s="15"/>
      <c r="F17" s="41"/>
      <c r="G17" s="42"/>
      <c r="H17" s="43"/>
    </row>
    <row r="18" spans="2:12" x14ac:dyDescent="0.3">
      <c r="B18" s="58"/>
      <c r="C18" s="14"/>
      <c r="D18" s="8"/>
      <c r="E18" s="15"/>
      <c r="F18" s="41"/>
      <c r="G18" s="42"/>
      <c r="H18" s="43"/>
      <c r="L18" s="2" t="str">
        <f>_xlfn.CONCAT("Grupo ",L4,"  -  ",TEXT(M4,"###.###"),"MHz")</f>
        <v>Grupo Tenis4  -  319.200MHz</v>
      </c>
    </row>
    <row r="19" spans="2:12" x14ac:dyDescent="0.3">
      <c r="B19" s="58"/>
      <c r="C19" s="14"/>
      <c r="D19" s="8"/>
      <c r="E19" s="15"/>
      <c r="F19" s="41"/>
      <c r="G19" s="42"/>
      <c r="H19" s="43"/>
      <c r="L19" s="2" t="str">
        <f>_xlfn.CONCAT(M3,"  -  ",N3)</f>
        <v>Torre: 126.100 MHz / 255.100MHz  -  28X</v>
      </c>
    </row>
    <row r="20" spans="2:12" x14ac:dyDescent="0.3">
      <c r="B20" s="58"/>
      <c r="C20" s="14"/>
      <c r="D20" s="8"/>
      <c r="E20" s="15"/>
      <c r="F20" s="41"/>
      <c r="G20" s="42"/>
      <c r="H20" s="43"/>
    </row>
    <row r="21" spans="2:12" x14ac:dyDescent="0.3">
      <c r="B21" s="58"/>
      <c r="C21" s="14"/>
      <c r="D21" s="8"/>
      <c r="E21" s="15"/>
      <c r="F21" s="41"/>
      <c r="G21" s="42"/>
      <c r="H21" s="43"/>
    </row>
    <row r="22" spans="2:12" x14ac:dyDescent="0.3">
      <c r="B22" s="58"/>
      <c r="C22" s="14"/>
      <c r="D22" s="8"/>
      <c r="E22" s="15"/>
      <c r="F22" s="41"/>
      <c r="G22" s="42"/>
      <c r="H22" s="43"/>
    </row>
    <row r="23" spans="2:12" x14ac:dyDescent="0.3">
      <c r="B23" s="58"/>
      <c r="C23" s="14"/>
      <c r="D23" s="8"/>
      <c r="E23" s="15"/>
      <c r="F23" s="41"/>
      <c r="G23" s="42"/>
      <c r="H23" s="43"/>
    </row>
    <row r="24" spans="2:12" x14ac:dyDescent="0.3">
      <c r="B24" s="58"/>
      <c r="C24" s="14"/>
      <c r="D24" s="8"/>
      <c r="E24" s="15"/>
      <c r="F24" s="41"/>
      <c r="G24" s="42"/>
      <c r="H24" s="43"/>
    </row>
    <row r="25" spans="2:12" ht="14.4" thickBot="1" x14ac:dyDescent="0.35">
      <c r="B25" s="58"/>
      <c r="C25" s="16"/>
      <c r="D25" s="10"/>
      <c r="E25" s="17"/>
      <c r="F25" s="44"/>
      <c r="G25" s="45"/>
      <c r="H25" s="46"/>
    </row>
    <row r="26" spans="2:12" ht="12" customHeight="1" thickBot="1" x14ac:dyDescent="0.35">
      <c r="B26" s="58"/>
      <c r="C26" s="47"/>
      <c r="D26" s="47"/>
      <c r="E26" s="47"/>
      <c r="F26" s="47"/>
      <c r="G26" s="47"/>
      <c r="H26" s="47"/>
    </row>
    <row r="27" spans="2:12" ht="18.600000000000001" thickBot="1" x14ac:dyDescent="0.35">
      <c r="B27" s="58"/>
      <c r="C27" s="48" t="s">
        <v>7</v>
      </c>
      <c r="D27" s="49"/>
      <c r="E27" s="49"/>
      <c r="F27" s="49"/>
      <c r="G27" s="49"/>
      <c r="H27" s="50"/>
    </row>
    <row r="28" spans="2:12" ht="14.4" x14ac:dyDescent="0.3">
      <c r="B28" s="58"/>
      <c r="C28" s="11" t="s">
        <v>8</v>
      </c>
      <c r="D28" s="12" t="s">
        <v>9</v>
      </c>
      <c r="E28" s="12" t="s">
        <v>10</v>
      </c>
      <c r="F28" s="12" t="s">
        <v>11</v>
      </c>
      <c r="G28" s="12" t="s">
        <v>5</v>
      </c>
      <c r="H28" s="13" t="s">
        <v>12</v>
      </c>
    </row>
    <row r="29" spans="2:12" x14ac:dyDescent="0.3">
      <c r="B29" s="58"/>
      <c r="C29" s="18"/>
      <c r="D29" s="19"/>
      <c r="E29" s="20"/>
      <c r="F29" s="8"/>
      <c r="G29" s="15"/>
      <c r="H29" s="21"/>
    </row>
    <row r="30" spans="2:12" x14ac:dyDescent="0.3">
      <c r="B30" s="58"/>
      <c r="C30" s="18"/>
      <c r="D30" s="19"/>
      <c r="E30" s="20"/>
      <c r="F30" s="8"/>
      <c r="G30" s="15"/>
      <c r="H30" s="21"/>
    </row>
    <row r="31" spans="2:12" x14ac:dyDescent="0.3">
      <c r="B31" s="58"/>
      <c r="C31" s="18"/>
      <c r="D31" s="19"/>
      <c r="E31" s="20"/>
      <c r="F31" s="8"/>
      <c r="G31" s="15"/>
      <c r="H31" s="21"/>
    </row>
    <row r="32" spans="2:12" x14ac:dyDescent="0.3">
      <c r="B32" s="58"/>
      <c r="C32" s="18"/>
      <c r="D32" s="19"/>
      <c r="E32" s="20"/>
      <c r="F32" s="8"/>
      <c r="G32" s="15"/>
      <c r="H32" s="21"/>
    </row>
    <row r="33" spans="2:8" x14ac:dyDescent="0.3">
      <c r="B33" s="58"/>
      <c r="C33" s="18"/>
      <c r="D33" s="19"/>
      <c r="E33" s="20"/>
      <c r="F33" s="8"/>
      <c r="G33" s="15"/>
      <c r="H33" s="21"/>
    </row>
    <row r="34" spans="2:8" ht="14.4" thickBot="1" x14ac:dyDescent="0.35">
      <c r="B34" s="58"/>
      <c r="C34" s="18"/>
      <c r="D34" s="22"/>
      <c r="E34" s="23"/>
      <c r="F34" s="10"/>
      <c r="G34" s="17"/>
      <c r="H34" s="24"/>
    </row>
    <row r="35" spans="2:8" ht="12" customHeight="1" thickBot="1" x14ac:dyDescent="0.35">
      <c r="B35" s="58"/>
      <c r="C35" s="47"/>
      <c r="D35" s="47"/>
      <c r="E35" s="47"/>
      <c r="F35" s="47"/>
      <c r="G35" s="47"/>
      <c r="H35" s="47"/>
    </row>
    <row r="36" spans="2:8" ht="15" thickBot="1" x14ac:dyDescent="0.35">
      <c r="B36" s="58"/>
      <c r="C36" s="25" t="s">
        <v>13</v>
      </c>
      <c r="D36" s="51" t="s">
        <v>14</v>
      </c>
      <c r="E36" s="51"/>
      <c r="F36" s="51"/>
      <c r="G36" s="51"/>
      <c r="H36" s="25" t="s">
        <v>15</v>
      </c>
    </row>
    <row r="37" spans="2:8" x14ac:dyDescent="0.3">
      <c r="B37" s="58"/>
      <c r="C37" s="26">
        <v>1</v>
      </c>
      <c r="D37" s="38"/>
      <c r="E37" s="39"/>
      <c r="F37" s="39"/>
      <c r="G37" s="40"/>
      <c r="H37" s="27"/>
    </row>
    <row r="38" spans="2:8" x14ac:dyDescent="0.3">
      <c r="B38" s="58"/>
      <c r="C38" s="28">
        <v>2</v>
      </c>
      <c r="D38" s="32"/>
      <c r="E38" s="33"/>
      <c r="F38" s="33"/>
      <c r="G38" s="34"/>
      <c r="H38" s="29"/>
    </row>
    <row r="39" spans="2:8" x14ac:dyDescent="0.3">
      <c r="B39" s="58"/>
      <c r="C39" s="28">
        <v>3</v>
      </c>
      <c r="D39" s="32"/>
      <c r="E39" s="33"/>
      <c r="F39" s="33"/>
      <c r="G39" s="34"/>
      <c r="H39" s="29"/>
    </row>
    <row r="40" spans="2:8" x14ac:dyDescent="0.3">
      <c r="B40" s="58"/>
      <c r="C40" s="28">
        <v>4</v>
      </c>
      <c r="D40" s="32"/>
      <c r="E40" s="33"/>
      <c r="F40" s="33"/>
      <c r="G40" s="34"/>
      <c r="H40" s="29"/>
    </row>
    <row r="41" spans="2:8" x14ac:dyDescent="0.3">
      <c r="B41" s="58"/>
      <c r="C41" s="28">
        <v>5</v>
      </c>
      <c r="D41" s="32"/>
      <c r="E41" s="33"/>
      <c r="F41" s="33"/>
      <c r="G41" s="34"/>
      <c r="H41" s="29"/>
    </row>
    <row r="42" spans="2:8" x14ac:dyDescent="0.3">
      <c r="B42" s="58"/>
      <c r="C42" s="28">
        <v>6</v>
      </c>
      <c r="D42" s="32"/>
      <c r="E42" s="33"/>
      <c r="F42" s="33"/>
      <c r="G42" s="34"/>
      <c r="H42" s="29"/>
    </row>
    <row r="43" spans="2:8" x14ac:dyDescent="0.3">
      <c r="B43" s="58"/>
      <c r="C43" s="28">
        <v>7</v>
      </c>
      <c r="D43" s="32"/>
      <c r="E43" s="33"/>
      <c r="F43" s="33"/>
      <c r="G43" s="34"/>
      <c r="H43" s="29"/>
    </row>
    <row r="44" spans="2:8" x14ac:dyDescent="0.3">
      <c r="B44" s="58"/>
      <c r="C44" s="28">
        <v>8</v>
      </c>
      <c r="D44" s="32"/>
      <c r="E44" s="33"/>
      <c r="F44" s="33"/>
      <c r="G44" s="34"/>
      <c r="H44" s="29"/>
    </row>
    <row r="45" spans="2:8" ht="14.4" thickBot="1" x14ac:dyDescent="0.35">
      <c r="B45" s="58"/>
      <c r="C45" s="30">
        <v>9</v>
      </c>
      <c r="D45" s="35"/>
      <c r="E45" s="36"/>
      <c r="F45" s="36"/>
      <c r="G45" s="37"/>
      <c r="H45" s="31"/>
    </row>
    <row r="46" spans="2:8" x14ac:dyDescent="0.3">
      <c r="B46" s="58"/>
    </row>
  </sheetData>
  <mergeCells count="43">
    <mergeCell ref="B2:I2"/>
    <mergeCell ref="B3:B46"/>
    <mergeCell ref="C3:H3"/>
    <mergeCell ref="C4:H4"/>
    <mergeCell ref="C5:H5"/>
    <mergeCell ref="C6:H6"/>
    <mergeCell ref="C7:D7"/>
    <mergeCell ref="F7:G7"/>
    <mergeCell ref="H7:H10"/>
    <mergeCell ref="C8:D8"/>
    <mergeCell ref="F17:H17"/>
    <mergeCell ref="F8:G8"/>
    <mergeCell ref="C9:D9"/>
    <mergeCell ref="F9:G9"/>
    <mergeCell ref="C10:D10"/>
    <mergeCell ref="F10:G10"/>
    <mergeCell ref="C11:H11"/>
    <mergeCell ref="C12:H12"/>
    <mergeCell ref="F13:H13"/>
    <mergeCell ref="F14:H14"/>
    <mergeCell ref="F15:H15"/>
    <mergeCell ref="F16:H16"/>
    <mergeCell ref="D36:G36"/>
    <mergeCell ref="F18:H18"/>
    <mergeCell ref="F19:H19"/>
    <mergeCell ref="F20:H20"/>
    <mergeCell ref="F21:H21"/>
    <mergeCell ref="F22:H22"/>
    <mergeCell ref="F23:H23"/>
    <mergeCell ref="F24:H24"/>
    <mergeCell ref="F25:H25"/>
    <mergeCell ref="C26:H26"/>
    <mergeCell ref="C27:H27"/>
    <mergeCell ref="C35:H35"/>
    <mergeCell ref="D43:G43"/>
    <mergeCell ref="D44:G44"/>
    <mergeCell ref="D45:G45"/>
    <mergeCell ref="D37:G37"/>
    <mergeCell ref="D38:G38"/>
    <mergeCell ref="D39:G39"/>
    <mergeCell ref="D40:G40"/>
    <mergeCell ref="D41:G41"/>
    <mergeCell ref="D42:G42"/>
  </mergeCells>
  <conditionalFormatting sqref="H29:H34">
    <cfRule type="cellIs" dxfId="1" priority="1" operator="greaterThan">
      <formula>100</formula>
    </cfRule>
    <cfRule type="cellIs" dxfId="0" priority="2" operator="lessThan">
      <formula>100</formula>
    </cfRule>
  </conditionalFormatting>
  <dataValidations count="1">
    <dataValidation type="list" allowBlank="1" showInputMessage="1" showErrorMessage="1" sqref="L4" xr:uid="{D66CBE13-36DD-4F78-9AA8-DA54B1BA49F3}">
      <formula1>$O:$O</formula1>
    </dataValidation>
  </dataValidations>
  <printOptions horizontalCentered="1" verticalCentered="1"/>
  <pageMargins left="0" right="0.11" top="0" bottom="0" header="0" footer="0"/>
  <pageSetup paperSize="9" scale="119" orientation="portrait" r:id="rId1"/>
  <headerFooter scaleWithDoc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Plan de vuelo</vt:lpstr>
      <vt:lpstr>'Plan de vuelo'!Área_de_impresión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Óscar Andrés</dc:creator>
  <cp:lastModifiedBy>Óscar Andrés</cp:lastModifiedBy>
  <dcterms:created xsi:type="dcterms:W3CDTF">2026-10-18T17:00:11Z</dcterms:created>
  <dcterms:modified xsi:type="dcterms:W3CDTF">2026-10-18T18:13:25Z</dcterms:modified>
</cp:coreProperties>
</file>